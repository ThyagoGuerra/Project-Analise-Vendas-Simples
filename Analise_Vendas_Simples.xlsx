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/>
  <xr:revisionPtr revIDLastSave="0" documentId="8_{562EE301-3A4E-412A-8920-26A6AD019E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 Geral" sheetId="2" r:id="rId1"/>
    <sheet name="Analise" sheetId="1" r:id="rId2"/>
  </sheets>
  <definedNames>
    <definedName name="_xlnm._FilterDatabase" localSheetId="1" hidden="1">Analise!$A$1:$J$1</definedName>
    <definedName name="_xlnm._FilterDatabase" localSheetId="0" hidden="1">'Base Geral'!$A$1:$J$1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23" i="1"/>
  <c r="A23" i="1"/>
  <c r="A17" i="1"/>
  <c r="A20" i="1"/>
  <c r="C14" i="1"/>
  <c r="B14" i="1"/>
  <c r="K2" i="1" a="1"/>
  <c r="K2" i="1"/>
  <c r="A14" i="1"/>
  <c r="F14" i="1" s="1"/>
  <c r="B17" i="1" l="1"/>
  <c r="C17" i="1"/>
  <c r="B20" i="1"/>
  <c r="C20" i="1"/>
  <c r="B26" i="1"/>
  <c r="A26" i="1"/>
  <c r="E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<sst xmlns="http://schemas.openxmlformats.org/spreadsheetml/2006/main" count="157" uniqueCount="61">
  <si>
    <t>ID_Venda</t>
  </si>
  <si>
    <t>Data</t>
  </si>
  <si>
    <t>Produto</t>
  </si>
  <si>
    <t>Categoria</t>
  </si>
  <si>
    <t>Quantidade</t>
  </si>
  <si>
    <t>Preco_Unitario</t>
  </si>
  <si>
    <t>Valor_Total</t>
  </si>
  <si>
    <t>Cliente</t>
  </si>
  <si>
    <t>Regiao</t>
  </si>
  <si>
    <t>Vendedor</t>
  </si>
  <si>
    <t>2024-01-05</t>
  </si>
  <si>
    <t>Notebook</t>
  </si>
  <si>
    <t>Eletrônicos</t>
  </si>
  <si>
    <t>Carlos</t>
  </si>
  <si>
    <t>Sudeste</t>
  </si>
  <si>
    <t>Ana</t>
  </si>
  <si>
    <t>2024-01-06</t>
  </si>
  <si>
    <t>Mouse</t>
  </si>
  <si>
    <t>Mariana</t>
  </si>
  <si>
    <t>Sul</t>
  </si>
  <si>
    <t>João</t>
  </si>
  <si>
    <t>2024-01-07</t>
  </si>
  <si>
    <t>Teclado</t>
  </si>
  <si>
    <t>Móveis</t>
  </si>
  <si>
    <t>Lucas</t>
  </si>
  <si>
    <t>2024-01-08</t>
  </si>
  <si>
    <t>Cadeira Gamer</t>
  </si>
  <si>
    <t>Fernanda</t>
  </si>
  <si>
    <t>Nordeste</t>
  </si>
  <si>
    <t>Paulo</t>
  </si>
  <si>
    <t>2024-01-09</t>
  </si>
  <si>
    <t>Monitor</t>
  </si>
  <si>
    <t>Rafael</t>
  </si>
  <si>
    <t>Centro-Oeste</t>
  </si>
  <si>
    <t>2024-01-10</t>
  </si>
  <si>
    <t>Juliana</t>
  </si>
  <si>
    <t>2024-01-11</t>
  </si>
  <si>
    <t>Mesa Escritório</t>
  </si>
  <si>
    <t>Bruno</t>
  </si>
  <si>
    <t>2024-01-12</t>
  </si>
  <si>
    <t>Headset</t>
  </si>
  <si>
    <t>Patrícia</t>
  </si>
  <si>
    <t>2024-01-13</t>
  </si>
  <si>
    <t>Eduardo</t>
  </si>
  <si>
    <t>2024-01-14</t>
  </si>
  <si>
    <t>Camila</t>
  </si>
  <si>
    <t>Desconto 5%</t>
  </si>
  <si>
    <t>Faturamento Total</t>
  </si>
  <si>
    <t>Quantidade Total</t>
  </si>
  <si>
    <t>Média das Quantidades</t>
  </si>
  <si>
    <t>Preço Unitario Total</t>
  </si>
  <si>
    <t>Lucro %</t>
  </si>
  <si>
    <t>Lucro</t>
  </si>
  <si>
    <t>Faturamento Eletrônicos</t>
  </si>
  <si>
    <t>Total de Descontos Aprovados de Eletrônicos</t>
  </si>
  <si>
    <t>Faturamento Móveis</t>
  </si>
  <si>
    <t>Total de Descontos Aprovados de Móveis</t>
  </si>
  <si>
    <t>Média Eletrônicos</t>
  </si>
  <si>
    <t>Média Móveis</t>
  </si>
  <si>
    <t>Total de Descontos Aprovados</t>
  </si>
  <si>
    <t>Total de Descontos Negados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</si>
</sst>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0404-1F3A-4272-B3F9-1B70E784FA86}">
  <dimension ref="A1:K26"/>
  <sheetViews>
    <sheetView tabSelected="1" workbookViewId="0">
      <selection activeCell="A25" activeCellId="5" sqref="K1 A13:F13 A16:C16 A19:C19 A22:B22 A25:B25"/>
    </sheetView>
  </sheetViews>
  <sheetFormatPr defaultRowHeight="15"/>
  <cols>
    <col min="1" max="1" width="28.140625" customWidth="1"/>
    <col min="2" max="2" width="41.140625" customWidth="1"/>
    <col min="3" max="3" width="41.42578125" customWidth="1"/>
    <col min="4" max="4" width="19.5703125" customWidth="1"/>
    <col min="5" max="5" width="11.85546875" customWidth="1"/>
    <col min="6" max="6" width="16.28515625" bestFit="1" customWidth="1"/>
    <col min="7" max="7" width="18.28515625" customWidth="1"/>
    <col min="8" max="8" width="9.28515625" bestFit="1" customWidth="1"/>
    <col min="9" max="9" width="12.5703125" bestFit="1" customWidth="1"/>
    <col min="10" max="10" width="11.7109375" bestFit="1" customWidth="1"/>
    <col min="11" max="11" width="19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8</v>
      </c>
      <c r="J1" s="12" t="s">
        <v>9</v>
      </c>
      <c r="K1" s="13"/>
    </row>
    <row r="2" spans="1:11">
      <c r="A2" s="2">
        <v>1</v>
      </c>
      <c r="B2" s="2" t="s">
        <v>10</v>
      </c>
      <c r="C2" s="2" t="s">
        <v>11</v>
      </c>
      <c r="D2" s="2" t="s">
        <v>12</v>
      </c>
      <c r="E2" s="2">
        <v>1</v>
      </c>
      <c r="F2" s="2">
        <v>3500</v>
      </c>
      <c r="G2" s="2">
        <v>3500</v>
      </c>
      <c r="H2" s="2" t="s">
        <v>13</v>
      </c>
      <c r="I2" s="5" t="s">
        <v>14</v>
      </c>
      <c r="J2" s="6" t="s">
        <v>15</v>
      </c>
      <c r="K2" s="10"/>
    </row>
    <row r="3" spans="1:11">
      <c r="A3" s="2">
        <v>2</v>
      </c>
      <c r="B3" s="2" t="s">
        <v>16</v>
      </c>
      <c r="C3" s="2" t="s">
        <v>17</v>
      </c>
      <c r="D3" s="2" t="s">
        <v>12</v>
      </c>
      <c r="E3" s="2">
        <v>2</v>
      </c>
      <c r="F3" s="2">
        <v>80</v>
      </c>
      <c r="G3" s="2">
        <v>160</v>
      </c>
      <c r="H3" s="2" t="s">
        <v>18</v>
      </c>
      <c r="I3" s="5" t="s">
        <v>19</v>
      </c>
      <c r="J3" s="6" t="s">
        <v>20</v>
      </c>
      <c r="K3" s="10"/>
    </row>
    <row r="4" spans="1:11">
      <c r="A4" s="2">
        <v>3</v>
      </c>
      <c r="B4" s="2" t="s">
        <v>21</v>
      </c>
      <c r="C4" s="2" t="s">
        <v>22</v>
      </c>
      <c r="D4" s="2" t="s">
        <v>23</v>
      </c>
      <c r="E4" s="2">
        <v>1</v>
      </c>
      <c r="F4" s="2">
        <v>150</v>
      </c>
      <c r="G4" s="2">
        <v>150</v>
      </c>
      <c r="H4" s="2" t="s">
        <v>24</v>
      </c>
      <c r="I4" s="5" t="s">
        <v>14</v>
      </c>
      <c r="J4" s="6" t="s">
        <v>15</v>
      </c>
      <c r="K4" s="10"/>
    </row>
    <row r="5" spans="1:11">
      <c r="A5" s="2">
        <v>4</v>
      </c>
      <c r="B5" s="2" t="s">
        <v>25</v>
      </c>
      <c r="C5" s="2" t="s">
        <v>26</v>
      </c>
      <c r="D5" s="2" t="s">
        <v>23</v>
      </c>
      <c r="E5" s="2">
        <v>2</v>
      </c>
      <c r="F5" s="2">
        <v>900</v>
      </c>
      <c r="G5" s="2">
        <v>1800</v>
      </c>
      <c r="H5" s="2" t="s">
        <v>27</v>
      </c>
      <c r="I5" s="5" t="s">
        <v>28</v>
      </c>
      <c r="J5" s="6" t="s">
        <v>29</v>
      </c>
      <c r="K5" s="10"/>
    </row>
    <row r="6" spans="1:11">
      <c r="A6" s="2">
        <v>5</v>
      </c>
      <c r="B6" s="2" t="s">
        <v>30</v>
      </c>
      <c r="C6" s="2" t="s">
        <v>31</v>
      </c>
      <c r="D6" s="2" t="s">
        <v>12</v>
      </c>
      <c r="E6" s="2">
        <v>3</v>
      </c>
      <c r="F6" s="2">
        <v>1200</v>
      </c>
      <c r="G6" s="2">
        <v>3600</v>
      </c>
      <c r="H6" s="2" t="s">
        <v>32</v>
      </c>
      <c r="I6" s="5" t="s">
        <v>33</v>
      </c>
      <c r="J6" s="6" t="s">
        <v>20</v>
      </c>
      <c r="K6" s="10"/>
    </row>
    <row r="7" spans="1:11">
      <c r="A7" s="2">
        <v>6</v>
      </c>
      <c r="B7" s="2" t="s">
        <v>34</v>
      </c>
      <c r="C7" s="2" t="s">
        <v>11</v>
      </c>
      <c r="D7" s="2" t="s">
        <v>12</v>
      </c>
      <c r="E7" s="2">
        <v>1</v>
      </c>
      <c r="F7" s="2">
        <v>3500</v>
      </c>
      <c r="G7" s="2">
        <v>3500</v>
      </c>
      <c r="H7" s="2" t="s">
        <v>35</v>
      </c>
      <c r="I7" s="5" t="s">
        <v>14</v>
      </c>
      <c r="J7" s="6" t="s">
        <v>15</v>
      </c>
      <c r="K7" s="10"/>
    </row>
    <row r="8" spans="1:11">
      <c r="A8" s="2">
        <v>7</v>
      </c>
      <c r="B8" s="2" t="s">
        <v>36</v>
      </c>
      <c r="C8" s="2" t="s">
        <v>37</v>
      </c>
      <c r="D8" s="2" t="s">
        <v>23</v>
      </c>
      <c r="E8" s="2">
        <v>2</v>
      </c>
      <c r="F8" s="2">
        <v>750</v>
      </c>
      <c r="G8" s="2">
        <v>1500</v>
      </c>
      <c r="H8" s="2" t="s">
        <v>38</v>
      </c>
      <c r="I8" s="5" t="s">
        <v>19</v>
      </c>
      <c r="J8" s="6" t="s">
        <v>29</v>
      </c>
      <c r="K8" s="10"/>
    </row>
    <row r="9" spans="1:11">
      <c r="A9" s="2">
        <v>8</v>
      </c>
      <c r="B9" s="2" t="s">
        <v>39</v>
      </c>
      <c r="C9" s="2" t="s">
        <v>40</v>
      </c>
      <c r="D9" s="2" t="s">
        <v>12</v>
      </c>
      <c r="E9" s="2">
        <v>3</v>
      </c>
      <c r="F9" s="2">
        <v>200</v>
      </c>
      <c r="G9" s="2">
        <v>600</v>
      </c>
      <c r="H9" s="2" t="s">
        <v>41</v>
      </c>
      <c r="I9" s="5" t="s">
        <v>14</v>
      </c>
      <c r="J9" s="6" t="s">
        <v>20</v>
      </c>
      <c r="K9" s="10"/>
    </row>
    <row r="10" spans="1:11">
      <c r="A10" s="2">
        <v>9</v>
      </c>
      <c r="B10" s="2" t="s">
        <v>42</v>
      </c>
      <c r="C10" s="2" t="s">
        <v>17</v>
      </c>
      <c r="D10" s="2" t="s">
        <v>23</v>
      </c>
      <c r="E10" s="2">
        <v>1</v>
      </c>
      <c r="F10" s="2">
        <v>80</v>
      </c>
      <c r="G10" s="2">
        <v>80</v>
      </c>
      <c r="H10" s="2" t="s">
        <v>43</v>
      </c>
      <c r="I10" s="5" t="s">
        <v>28</v>
      </c>
      <c r="J10" s="6" t="s">
        <v>15</v>
      </c>
      <c r="K10" s="10"/>
    </row>
    <row r="11" spans="1:11">
      <c r="A11" s="2">
        <v>10</v>
      </c>
      <c r="B11" s="2" t="s">
        <v>44</v>
      </c>
      <c r="C11" s="2" t="s">
        <v>31</v>
      </c>
      <c r="D11" s="2" t="s">
        <v>12</v>
      </c>
      <c r="E11" s="2">
        <v>2</v>
      </c>
      <c r="F11" s="2">
        <v>1200</v>
      </c>
      <c r="G11" s="2">
        <v>2400</v>
      </c>
      <c r="H11" s="2" t="s">
        <v>45</v>
      </c>
      <c r="I11" s="5" t="s">
        <v>14</v>
      </c>
      <c r="J11" s="6" t="s">
        <v>29</v>
      </c>
      <c r="K11" s="10"/>
    </row>
    <row r="13" spans="1:11" ht="15.75" customHeight="1">
      <c r="A13" s="14"/>
      <c r="B13" s="14"/>
      <c r="C13" s="14"/>
      <c r="D13" s="15"/>
      <c r="E13" s="14"/>
      <c r="F13" s="14"/>
    </row>
    <row r="14" spans="1:11">
      <c r="A14" s="3"/>
      <c r="B14" s="3"/>
      <c r="C14" s="3"/>
      <c r="D14" s="3"/>
      <c r="E14" s="8"/>
      <c r="F14" s="3"/>
    </row>
    <row r="16" spans="1:11" ht="15" customHeight="1">
      <c r="A16" s="15"/>
      <c r="B16" s="15"/>
      <c r="C16" s="15"/>
    </row>
    <row r="17" spans="1:3" ht="19.5" customHeight="1">
      <c r="A17" s="3"/>
      <c r="B17" s="9"/>
      <c r="C17" s="3"/>
    </row>
    <row r="19" spans="1:3" ht="17.25" customHeight="1">
      <c r="A19" s="15"/>
      <c r="B19" s="15"/>
      <c r="C19" s="15"/>
    </row>
    <row r="20" spans="1:3">
      <c r="A20" s="3"/>
      <c r="B20" s="3"/>
      <c r="C20" s="3"/>
    </row>
    <row r="22" spans="1:3" ht="16.5" customHeight="1">
      <c r="A22" s="14"/>
      <c r="B22" s="14"/>
    </row>
    <row r="23" spans="1:3">
      <c r="A23" s="3"/>
      <c r="B23" s="3"/>
    </row>
    <row r="25" spans="1:3">
      <c r="A25" s="15"/>
      <c r="B25" s="15"/>
    </row>
    <row r="26" spans="1:3">
      <c r="A26" s="3"/>
      <c r="B26" s="3"/>
    </row>
  </sheetData>
  <autoFilter ref="A1:J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C26" sqref="C26"/>
    </sheetView>
  </sheetViews>
  <sheetFormatPr defaultRowHeight="15"/>
  <cols>
    <col min="1" max="1" width="28.140625" customWidth="1"/>
    <col min="2" max="2" width="41.140625" customWidth="1"/>
    <col min="3" max="3" width="41.42578125" customWidth="1"/>
    <col min="4" max="4" width="19.5703125" customWidth="1"/>
    <col min="5" max="5" width="11.85546875" customWidth="1"/>
    <col min="6" max="6" width="16.28515625" bestFit="1" customWidth="1"/>
    <col min="7" max="7" width="18.28515625" customWidth="1"/>
    <col min="8" max="8" width="9.28515625" bestFit="1" customWidth="1"/>
    <col min="9" max="9" width="12.5703125" bestFit="1" customWidth="1"/>
    <col min="10" max="10" width="11.7109375" bestFit="1" customWidth="1"/>
    <col min="11" max="11" width="19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46</v>
      </c>
    </row>
    <row r="2" spans="1:11">
      <c r="A2" s="2">
        <v>1</v>
      </c>
      <c r="B2" s="2" t="s">
        <v>10</v>
      </c>
      <c r="C2" s="2" t="s">
        <v>11</v>
      </c>
      <c r="D2" s="2" t="s">
        <v>12</v>
      </c>
      <c r="E2" s="2">
        <v>1</v>
      </c>
      <c r="F2" s="2">
        <v>3500</v>
      </c>
      <c r="G2" s="2">
        <v>3500</v>
      </c>
      <c r="H2" s="2" t="s">
        <v>13</v>
      </c>
      <c r="I2" s="2" t="s">
        <v>14</v>
      </c>
      <c r="J2" s="5" t="s">
        <v>15</v>
      </c>
      <c r="K2" s="6" t="str" cm="1">
        <f t="array" ref="K2:K11">IF(E2:E11&gt;=2,"Desconto Aprovado","Desconto Negado")</f>
        <v>Desconto Negado</v>
      </c>
    </row>
    <row r="3" spans="1:11">
      <c r="A3" s="2">
        <v>2</v>
      </c>
      <c r="B3" s="2" t="s">
        <v>16</v>
      </c>
      <c r="C3" s="2" t="s">
        <v>17</v>
      </c>
      <c r="D3" s="2" t="s">
        <v>12</v>
      </c>
      <c r="E3" s="2">
        <v>2</v>
      </c>
      <c r="F3" s="2">
        <v>80</v>
      </c>
      <c r="G3" s="2">
        <v>160</v>
      </c>
      <c r="H3" s="2" t="s">
        <v>18</v>
      </c>
      <c r="I3" s="2" t="s">
        <v>19</v>
      </c>
      <c r="J3" s="5" t="s">
        <v>20</v>
      </c>
      <c r="K3" s="6" t="str">
        <v>Desconto Aprovado</v>
      </c>
    </row>
    <row r="4" spans="1:11">
      <c r="A4" s="2">
        <v>3</v>
      </c>
      <c r="B4" s="2" t="s">
        <v>21</v>
      </c>
      <c r="C4" s="2" t="s">
        <v>22</v>
      </c>
      <c r="D4" s="2" t="s">
        <v>23</v>
      </c>
      <c r="E4" s="2">
        <v>1</v>
      </c>
      <c r="F4" s="2">
        <v>150</v>
      </c>
      <c r="G4" s="2">
        <v>150</v>
      </c>
      <c r="H4" s="2" t="s">
        <v>24</v>
      </c>
      <c r="I4" s="2" t="s">
        <v>14</v>
      </c>
      <c r="J4" s="5" t="s">
        <v>15</v>
      </c>
      <c r="K4" s="6" t="str">
        <v>Desconto Negado</v>
      </c>
    </row>
    <row r="5" spans="1:11">
      <c r="A5" s="2">
        <v>4</v>
      </c>
      <c r="B5" s="2" t="s">
        <v>25</v>
      </c>
      <c r="C5" s="2" t="s">
        <v>26</v>
      </c>
      <c r="D5" s="2" t="s">
        <v>23</v>
      </c>
      <c r="E5" s="2">
        <v>2</v>
      </c>
      <c r="F5" s="2">
        <v>900</v>
      </c>
      <c r="G5" s="2">
        <v>1800</v>
      </c>
      <c r="H5" s="2" t="s">
        <v>27</v>
      </c>
      <c r="I5" s="2" t="s">
        <v>28</v>
      </c>
      <c r="J5" s="5" t="s">
        <v>29</v>
      </c>
      <c r="K5" s="6" t="str">
        <v>Desconto Aprovado</v>
      </c>
    </row>
    <row r="6" spans="1:11">
      <c r="A6" s="2">
        <v>5</v>
      </c>
      <c r="B6" s="2" t="s">
        <v>30</v>
      </c>
      <c r="C6" s="2" t="s">
        <v>31</v>
      </c>
      <c r="D6" s="2" t="s">
        <v>12</v>
      </c>
      <c r="E6" s="2">
        <v>3</v>
      </c>
      <c r="F6" s="2">
        <v>1200</v>
      </c>
      <c r="G6" s="2">
        <v>3600</v>
      </c>
      <c r="H6" s="2" t="s">
        <v>32</v>
      </c>
      <c r="I6" s="2" t="s">
        <v>33</v>
      </c>
      <c r="J6" s="5" t="s">
        <v>20</v>
      </c>
      <c r="K6" s="6" t="str">
        <v>Desconto Aprovado</v>
      </c>
    </row>
    <row r="7" spans="1:11">
      <c r="A7" s="2">
        <v>6</v>
      </c>
      <c r="B7" s="2" t="s">
        <v>34</v>
      </c>
      <c r="C7" s="2" t="s">
        <v>11</v>
      </c>
      <c r="D7" s="2" t="s">
        <v>12</v>
      </c>
      <c r="E7" s="2">
        <v>1</v>
      </c>
      <c r="F7" s="2">
        <v>3500</v>
      </c>
      <c r="G7" s="2">
        <v>3500</v>
      </c>
      <c r="H7" s="2" t="s">
        <v>35</v>
      </c>
      <c r="I7" s="2" t="s">
        <v>14</v>
      </c>
      <c r="J7" s="5" t="s">
        <v>15</v>
      </c>
      <c r="K7" s="6" t="str">
        <v>Desconto Negado</v>
      </c>
    </row>
    <row r="8" spans="1:11">
      <c r="A8" s="2">
        <v>7</v>
      </c>
      <c r="B8" s="2" t="s">
        <v>36</v>
      </c>
      <c r="C8" s="2" t="s">
        <v>37</v>
      </c>
      <c r="D8" s="2" t="s">
        <v>23</v>
      </c>
      <c r="E8" s="2">
        <v>2</v>
      </c>
      <c r="F8" s="2">
        <v>750</v>
      </c>
      <c r="G8" s="2">
        <v>1500</v>
      </c>
      <c r="H8" s="2" t="s">
        <v>38</v>
      </c>
      <c r="I8" s="2" t="s">
        <v>19</v>
      </c>
      <c r="J8" s="5" t="s">
        <v>29</v>
      </c>
      <c r="K8" s="6" t="str">
        <v>Desconto Aprovado</v>
      </c>
    </row>
    <row r="9" spans="1:11">
      <c r="A9" s="2">
        <v>8</v>
      </c>
      <c r="B9" s="2" t="s">
        <v>39</v>
      </c>
      <c r="C9" s="2" t="s">
        <v>40</v>
      </c>
      <c r="D9" s="2" t="s">
        <v>12</v>
      </c>
      <c r="E9" s="2">
        <v>3</v>
      </c>
      <c r="F9" s="2">
        <v>200</v>
      </c>
      <c r="G9" s="2">
        <v>600</v>
      </c>
      <c r="H9" s="2" t="s">
        <v>41</v>
      </c>
      <c r="I9" s="2" t="s">
        <v>14</v>
      </c>
      <c r="J9" s="5" t="s">
        <v>20</v>
      </c>
      <c r="K9" s="6" t="str">
        <v>Desconto Aprovado</v>
      </c>
    </row>
    <row r="10" spans="1:11">
      <c r="A10" s="2">
        <v>9</v>
      </c>
      <c r="B10" s="2" t="s">
        <v>42</v>
      </c>
      <c r="C10" s="2" t="s">
        <v>17</v>
      </c>
      <c r="D10" s="2" t="s">
        <v>23</v>
      </c>
      <c r="E10" s="2">
        <v>1</v>
      </c>
      <c r="F10" s="2">
        <v>80</v>
      </c>
      <c r="G10" s="2">
        <v>80</v>
      </c>
      <c r="H10" s="2" t="s">
        <v>43</v>
      </c>
      <c r="I10" s="2" t="s">
        <v>28</v>
      </c>
      <c r="J10" s="5" t="s">
        <v>15</v>
      </c>
      <c r="K10" s="6" t="str">
        <v>Desconto Negado</v>
      </c>
    </row>
    <row r="11" spans="1:11">
      <c r="A11" s="2">
        <v>10</v>
      </c>
      <c r="B11" s="2" t="s">
        <v>44</v>
      </c>
      <c r="C11" s="2" t="s">
        <v>31</v>
      </c>
      <c r="D11" s="2" t="s">
        <v>12</v>
      </c>
      <c r="E11" s="2">
        <v>2</v>
      </c>
      <c r="F11" s="2">
        <v>1200</v>
      </c>
      <c r="G11" s="2">
        <v>2400</v>
      </c>
      <c r="H11" s="2" t="s">
        <v>45</v>
      </c>
      <c r="I11" s="2" t="s">
        <v>14</v>
      </c>
      <c r="J11" s="5" t="s">
        <v>29</v>
      </c>
      <c r="K11" s="6" t="str">
        <v>Desconto Aprovado</v>
      </c>
    </row>
    <row r="13" spans="1:11" ht="15.75" customHeight="1">
      <c r="A13" s="4" t="s">
        <v>47</v>
      </c>
      <c r="B13" s="4" t="s">
        <v>48</v>
      </c>
      <c r="C13" s="4" t="s">
        <v>49</v>
      </c>
      <c r="D13" s="7" t="s">
        <v>50</v>
      </c>
      <c r="E13" s="4" t="s">
        <v>51</v>
      </c>
      <c r="F13" s="4" t="s">
        <v>52</v>
      </c>
    </row>
    <row r="14" spans="1:11">
      <c r="A14" s="3">
        <f>SUM(G2:G11)</f>
        <v>17290</v>
      </c>
      <c r="B14" s="3">
        <f>SUM(E2:E11)</f>
        <v>18</v>
      </c>
      <c r="C14" s="3">
        <f>AVERAGE(E2:E11)</f>
        <v>1.8</v>
      </c>
      <c r="D14" s="3">
        <f>SUM(F2:F11)</f>
        <v>11560</v>
      </c>
      <c r="E14" s="8">
        <f>D14/A14</f>
        <v>0.66859456333140543</v>
      </c>
      <c r="F14" s="3">
        <f>A14-D14</f>
        <v>5730</v>
      </c>
    </row>
    <row r="16" spans="1:11" ht="15" customHeight="1">
      <c r="A16" s="7" t="s">
        <v>53</v>
      </c>
      <c r="B16" s="7" t="s">
        <v>54</v>
      </c>
      <c r="C16" s="7" t="s">
        <v>54</v>
      </c>
    </row>
    <row r="17" spans="1:3" ht="19.5" customHeight="1">
      <c r="A17" s="3">
        <f>SUMIF(D2:D11, "Eletrônicos", G2:G11)</f>
        <v>13760</v>
      </c>
      <c r="B17" s="9">
        <f>COUNTIFS(D2:D11,"Eletrônicos",K2:K11,"Desconto Aprovado")</f>
        <v>4</v>
      </c>
      <c r="C17" s="3">
        <f>COUNTIFS(D2:D11,"Eletrônicos",K2:K11,"Desconto Negado")</f>
        <v>2</v>
      </c>
    </row>
    <row r="19" spans="1:3" ht="17.25" customHeight="1">
      <c r="A19" s="7" t="s">
        <v>55</v>
      </c>
      <c r="B19" s="7" t="s">
        <v>56</v>
      </c>
      <c r="C19" s="7" t="s">
        <v>56</v>
      </c>
    </row>
    <row r="20" spans="1:3">
      <c r="A20" s="3">
        <f>SUMIF(D2:D11,"Móveis",G2:G11)</f>
        <v>3530</v>
      </c>
      <c r="B20" s="3">
        <f>COUNTIFS(D2:D11,"Móveis",K2:K11,"Desconto Aprovado")</f>
        <v>2</v>
      </c>
      <c r="C20" s="3">
        <f>COUNTIFS(D2:D11,"Móveis",K2:K11,"Desconto Negado")</f>
        <v>2</v>
      </c>
    </row>
    <row r="22" spans="1:3" ht="16.5" customHeight="1">
      <c r="A22" s="4" t="s">
        <v>57</v>
      </c>
      <c r="B22" s="4" t="s">
        <v>58</v>
      </c>
    </row>
    <row r="23" spans="1:3">
      <c r="A23" s="3">
        <f>AVERAGEIF(D2:D11,"Eletrônicos",E2:E11)</f>
        <v>2</v>
      </c>
      <c r="B23" s="3">
        <f>AVERAGEIF(D2:D11,"Móveis",E2:E11)</f>
        <v>1.5</v>
      </c>
    </row>
    <row r="25" spans="1:3">
      <c r="A25" s="7" t="s">
        <v>59</v>
      </c>
      <c r="B25" s="7" t="s">
        <v>60</v>
      </c>
    </row>
    <row r="26" spans="1:3">
      <c r="A26" s="3">
        <f>COUNTIF(K2:K11,"Desconto Aprovado")</f>
        <v>6</v>
      </c>
      <c r="B26" s="3">
        <f>COUNTIF(K2:K11,"Desconto Negado")</f>
        <v>4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2026-01-09T13:40:03Z</dcterms:created>
  <dcterms:modified xsi:type="dcterms:W3CDTF">2026-01-10T17:57:16Z</dcterms:modified>
  <cp:category/>
  <cp:contentStatus/>
</cp:coreProperties>
</file>